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Order of work" sheetId="3" state="visible" r:id="rId3"/>
    <sheet xmlns:r="http://schemas.openxmlformats.org/officeDocument/2006/relationships" name="Compute queue" sheetId="4" state="visible" r:id="rId4"/>
    <sheet xmlns:r="http://schemas.openxmlformats.org/officeDocument/2006/relationships" name="Change log" sheetId="5" state="visible" r:id="rId5"/>
  </sheets>
  <definedNames>
    <definedName name="_xlnm._FilterDatabase" localSheetId="0" hidden="1">'Tracker'!$A$1:$K$19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&quot;%&quot;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sz val="1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dxfs count="5">
    <dxf>
      <fill>
        <patternFill patternType="solid">
          <fgColor rgb="FFF2F2F2"/>
          <bgColor rgb="FFF2F2F2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I19" sqref="I19"/>
    </sheetView>
  </sheetViews>
  <sheetFormatPr baseColWidth="8" defaultRowHeight="15"/>
  <cols>
    <col width="5" customWidth="1" min="1" max="1"/>
    <col width="34" customWidth="1" min="2" max="2"/>
    <col width="10" customWidth="1" min="3" max="3"/>
    <col width="14" customWidth="1" min="4" max="4"/>
    <col width="62" customWidth="1" min="5" max="5"/>
    <col width="34" customWidth="1" min="6" max="6"/>
    <col width="14" customWidth="1" min="7" max="7"/>
    <col width="7" customWidth="1" min="8" max="8"/>
    <col width="13" customWidth="1" min="9" max="9"/>
    <col width="8" customWidth="1" min="10" max="10"/>
    <col width="52" customWidth="1" min="11" max="11"/>
  </cols>
  <sheetData>
    <row r="1" ht="30" customHeight="1">
      <c r="A1" s="1" t="inlineStr">
        <is>
          <t>ID</t>
        </is>
      </c>
      <c r="B1" s="1" t="inlineStr">
        <is>
          <t>Reviewer comment (short)</t>
        </is>
      </c>
      <c r="C1" s="1" t="inlineStr">
        <is>
          <t>Severity</t>
        </is>
      </c>
      <c r="D1" s="1" t="inlineStr">
        <is>
          <t>Type</t>
        </is>
      </c>
      <c r="E1" s="1" t="inlineStr">
        <is>
          <t>Tasks (do in this order)</t>
        </is>
      </c>
      <c r="F1" s="1" t="inlineStr">
        <is>
          <t>Deliverable / where it goes</t>
        </is>
      </c>
      <c r="G1" s="1" t="inlineStr">
        <is>
          <t>Depends on</t>
        </is>
      </c>
      <c r="H1" s="1" t="inlineStr">
        <is>
          <t>Phase</t>
        </is>
      </c>
      <c r="I1" s="1" t="inlineStr">
        <is>
          <t>Status</t>
        </is>
      </c>
      <c r="J1" s="1" t="inlineStr">
        <is>
          <t>% done</t>
        </is>
      </c>
      <c r="K1" s="1" t="inlineStr">
        <is>
          <t>What is done so far / blockers</t>
        </is>
      </c>
    </row>
    <row r="2" ht="102" customHeight="1">
      <c r="A2" s="2" t="n">
        <v>1</v>
      </c>
      <c r="B2" s="2" t="inlineStr">
        <is>
          <t>Calibration on non-converged mesh (802k vs 18.9M)</t>
        </is>
      </c>
      <c r="C2" s="2" t="inlineStr">
        <is>
          <t>Major</t>
        </is>
      </c>
      <c r="D2" s="2" t="inlineStr">
        <is>
          <t>Compute + text</t>
        </is>
      </c>
      <c r="E2" s="2" t="inlineStr">
        <is>
          <t>1) Re-derive coarse-&gt;fine correction on v4 (fine runs hmin0.25, 4+ parameter pairs, film mode).
2) Calibrate on coarse + correction AND on one finer mesh; report both parameter sets.
3) Quantify optimum / validation RMSE vs mesh (3 levels).
4) Re-run mesh-convergence study at FINAL parameters (state whether pre- or post-calibration).
5) Add table: mesh used for every result in Figs 3-8.</t>
        </is>
      </c>
      <c r="F2" s="2" t="inlineStr">
        <is>
          <t>New SI table 'mesh used per figure'; mesh-convergence figure at final parameters; text in Methods</t>
        </is>
      </c>
      <c r="G2" s="2" t="inlineStr">
        <is>
          <t>A (frozen v4 film model)</t>
        </is>
      </c>
      <c r="H2" s="2" t="inlineStr">
        <is>
          <t>A</t>
        </is>
      </c>
      <c r="I2" s="2" t="inlineStr">
        <is>
          <t>Draft done</t>
        </is>
      </c>
      <c r="J2" s="3" t="n">
        <v>80</v>
      </c>
      <c r="K2" s="2" t="inlineStr">
        <is>
          <t>D:\PhD (Monash Uni)\PhD Project\Stage 2\Paper 2\Metamaterials deisgn using ML Nature Paper\HPC model\pod_surrogate_v3\Meshes\Disc\Correlation_Study
Update 09-Oct: SI S8: mesh-correction figure added (Figure S9, L2 vs L6, r = 0.9986, L2 = 1.355846 x L6) with text; Table S15 (coarse/fine pairs, constants) still a placeholder. Correction not yet re-derived on v4 film runs.</t>
        </is>
      </c>
    </row>
    <row r="3" ht="102" customHeight="1">
      <c r="A3" s="2" t="n">
        <v>2</v>
      </c>
      <c r="B3" s="2" t="inlineStr">
        <is>
          <t>Dimensional / stoichiometric consistency of Eqs 7-17</t>
        </is>
      </c>
      <c r="C3" s="2" t="inlineStr">
        <is>
          <t>Major</t>
        </is>
      </c>
      <c r="D3" s="2" t="inlineStr">
        <is>
          <t>Text + compute</t>
        </is>
      </c>
      <c r="E3" s="2" t="inlineStr">
        <is>
          <t>1) Insert molar-basis Eqs 7-14 and units table (Table S-U) in manuscript/SI.
2) Fix Table 1 (delete [Zn]sat, add delta_f, reconcile rho_film 3.998 vs 5.606, tau 120 vs 2.0, diffusivities).
3) Validate OH- equation (or drop pH).
4) Global balance table (Zn solid/dissolved/film, O2 supplied/consumed, charge) for final model at 24/168/336/672 h.
5) Medium replacement: state 'none' or implement 48 h reset (see 8).</t>
        </is>
      </c>
      <c r="F3" s="2" t="inlineStr">
        <is>
          <t>Rewritten Methods section; Table S-U; Table S-B (balance); Table 1 corrected</t>
        </is>
      </c>
      <c r="G3" s="2" t="inlineStr">
        <is>
          <t>A, 10</t>
        </is>
      </c>
      <c r="H3" s="2" t="inlineStr">
        <is>
          <t>B</t>
        </is>
      </c>
      <c r="I3" s="2" t="inlineStr">
        <is>
          <t>Draft done</t>
        </is>
      </c>
      <c r="J3" s="3" t="n">
        <v>80</v>
      </c>
      <c r="K3" s="2" t="inlineStr">
        <is>
          <t>Draft Word file exists (Manuscript_model_section_v4_DRAFT.docx). Balance done for v4 volumetric film (Zn within 6-16 %, stoich 1.03-1.18) and old code (376-504x). Needs rerun on surface-film model; OH- unvalidated.
Update 09-Oct: Manuscript: Eqs 7, 9, 10, 14 rewritten with j_ORR = k_ORR C_O2|Gamma [mol mm-2 h-1]; F defined as molar (ZnO-equivalent) and Fmax = rho_film(1-eps)/M_film; kappa(F) removed (volumetric-film code); Table 1 C_Cl0, C_O2,0 now molar; units table S13 in SI. Table S14 (balance) still a placeholder; Table 1 delta_f / rho_film reconciliation not applied because film stays volumetric.</t>
        </is>
      </c>
    </row>
    <row r="4" ht="102" customHeight="1">
      <c r="A4" s="2" t="n">
        <v>3</v>
      </c>
      <c r="B4" s="2" t="inlineStr">
        <is>
          <t>Hard-minimum velocity rule needs justification</t>
        </is>
      </c>
      <c r="C4" s="2" t="inlineStr">
        <is>
          <t>Major</t>
        </is>
      </c>
      <c r="D4" s="2" t="inlineStr">
        <is>
          <t>Text (+ 1 small check)</t>
        </is>
      </c>
      <c r="E4" s="2" t="inlineStr">
        <is>
          <t>1) Write derivation from the interfacial O2 balance: Robin condition = series (harmonic) combination of reaction and transport.
2) Run a planar test: numerical v vs analytic series formula (small case).
3) Replace Table S1 / Fig S1 (rule A-D) with the historical comparison or remove; delete 'two regime transitions' sentence.
4) Short reply: no switching surfaces remain, rules A-D no longer part of model.</t>
        </is>
      </c>
      <c r="F4" s="2" t="inlineStr">
        <is>
          <t>SI Section S1 rewritten; response paragraph</t>
        </is>
      </c>
      <c r="G4" s="2" t="inlineStr">
        <is>
          <t>2</t>
        </is>
      </c>
      <c r="H4" s="2" t="inlineStr">
        <is>
          <t>D</t>
        </is>
      </c>
      <c r="I4" s="2" t="inlineStr">
        <is>
          <t>Draft done</t>
        </is>
      </c>
      <c r="J4" s="3" t="n">
        <v>85</v>
      </c>
      <c r="K4" s="2" t="inlineStr">
        <is>
          <t>Min() removed in v4 (mode 2, v = v_ORR with Robin O2 condition). Argument drafted in chat; derivation and planar check not yet written.
Update 09-Oct: SI S1 derivation + Table S1 (flux regimes) written; manuscript Level Set section rewritten (novelty for Zn models, no velocity cap, Robin wording replaced by interface-localized sink). Planar numerical test not yet run.</t>
        </is>
      </c>
    </row>
    <row r="5" ht="76.5" customHeight="1">
      <c r="A5" s="2" t="n">
        <v>4</v>
      </c>
      <c r="B5" s="2" t="inlineStr">
        <is>
          <t>Calibration / validation / consistency-check terminology; Zn2+ &amp; pH metrics</t>
        </is>
      </c>
      <c r="C5" s="2" t="inlineStr">
        <is>
          <t>Moderate</t>
        </is>
      </c>
      <c r="D5" s="2" t="inlineStr">
        <is>
          <t>Compute + text</t>
        </is>
      </c>
      <c r="E5" s="2" t="inlineStr">
        <is>
          <t>1) Apply the 5-term terminology throughout (calibration, independent validation, out-of-objective check, predictive case study, not validation).
2) Compute RMSE, NRMSE, bias and residuals for Zn2+ and pH over all time points.
3) Do not call the 44 % Zn2+ gap 'reproduction of the overall evolution'.
4) Decide whether pH stays (needs validated OH- equation).</t>
        </is>
      </c>
      <c r="F5" s="2" t="inlineStr">
        <is>
          <t>Table in SI with metrics; text edits in Results</t>
        </is>
      </c>
      <c r="G5" s="2" t="inlineStr">
        <is>
          <t>A, 2 (OH-)</t>
        </is>
      </c>
      <c r="H5" s="2" t="inlineStr">
        <is>
          <t>B</t>
        </is>
      </c>
      <c r="I5" s="2" t="inlineStr">
        <is>
          <t>Not started</t>
        </is>
      </c>
      <c r="J5" s="3" t="n">
        <v>0</v>
      </c>
      <c r="K5" s="2" t="n"/>
    </row>
    <row r="6" ht="89.25" customHeight="1">
      <c r="A6" s="2" t="n">
        <v>5</v>
      </c>
      <c r="B6" s="2" t="inlineStr">
        <is>
          <t>Parameter identifiability not established</t>
        </is>
      </c>
      <c r="C6" s="2" t="inlineStr">
        <is>
          <t>Major</t>
        </is>
      </c>
      <c r="D6" s="2" t="inlineStr">
        <is>
          <t>Compute + text</t>
        </is>
      </c>
      <c r="E6" s="2" t="inlineStr">
        <is>
          <t>1) 1-D profiles for k_ORR, k_f, k_d (profile RMSE).
2) Repeated BO with a second seed on the film model.
3) GP cross-validation error.
4) Show equal-RMSE parameter sets with different O2 / Zn2+ / film predictions.
5) Consider adding Zn2+ (or pH) to the objective.
6) State clearly that only k_ORR is well determined if that remains true.</t>
        </is>
      </c>
      <c r="F6" s="2" t="inlineStr">
        <is>
          <t>New SI figure (profiles, trade-offs); updated Table S10</t>
        </is>
      </c>
      <c r="G6" s="2" t="inlineStr">
        <is>
          <t>A</t>
        </is>
      </c>
      <c r="H6" s="2" t="inlineStr">
        <is>
          <t>B</t>
        </is>
      </c>
      <c r="I6" s="2" t="inlineStr">
        <is>
          <t>In progress</t>
        </is>
      </c>
      <c r="J6" s="3" t="n">
        <v>25</v>
      </c>
      <c r="K6" s="2" t="inlineStr">
        <is>
          <t>No-film BO (phases 1-2) shows only k_ORR (about 25) identifiable; film-mode phase 1 (16 round-number runs) is running.
Update 09-Oct: Fig S4 rebuilt from the 32-evaluation BO (trajectories + RMSE surfaces, log axes); BO table of all 32 evaluations in the chat/CSV; Morris ranges in Table S5 updated to v4 values (k_f 3e4-3e6, k_d 1e6-1e9, k_ORR 10-200). Not done: second-seed repeat, 1-D profiles, GP cross-validation, Morris rerun, Tables S9/S10.</t>
        </is>
      </c>
    </row>
    <row r="7" ht="76.5" customHeight="1">
      <c r="A7" s="2" t="n">
        <v>6</v>
      </c>
      <c r="B7" s="2" t="inlineStr">
        <is>
          <t>Uncertainty analysis too narrow</t>
        </is>
      </c>
      <c r="C7" s="2" t="inlineStr">
        <is>
          <t>Moderate</t>
        </is>
      </c>
      <c r="D7" s="2" t="inlineStr">
        <is>
          <t>Compute + text</t>
        </is>
      </c>
      <c r="E7" s="2" t="inlineStr">
        <is>
          <t>1) Show interval convergence vs ensemble size (50 vs more draws).
2) Add measurement SD, O2 and diffusivity, film porosity/tortuosity, mesh/time-step uncertainty to a predictive interval.
3) Plot experimental mean +- SD with the predictive band.
4) Move relative RMSE (8.6 % of mean, 5.1 % of 28 d) into the main text.</t>
        </is>
      </c>
      <c r="F7" s="2" t="inlineStr">
        <is>
          <t>Revised Figure S6; main-text RMSE sentence</t>
        </is>
      </c>
      <c r="G7" s="2" t="inlineStr">
        <is>
          <t>A, 1, 8, 9, 16</t>
        </is>
      </c>
      <c r="H7" s="2" t="inlineStr">
        <is>
          <t>C</t>
        </is>
      </c>
      <c r="I7" s="2" t="inlineStr">
        <is>
          <t>Not started</t>
        </is>
      </c>
      <c r="J7" s="3" t="n">
        <v>0</v>
      </c>
      <c r="K7" s="2" t="n"/>
    </row>
    <row r="8" ht="89.25" customHeight="1">
      <c r="A8" s="2" t="n">
        <v>7</v>
      </c>
      <c r="B8" s="2" t="inlineStr">
        <is>
          <t>Experimental measurement resolution and cleaning controls</t>
        </is>
      </c>
      <c r="C8" s="2" t="inlineStr">
        <is>
          <t>Moderate</t>
        </is>
      </c>
      <c r="D8" s="2" t="inlineStr">
        <is>
          <t>User input</t>
        </is>
      </c>
      <c r="E8" s="2" t="inlineStr">
        <is>
          <t>1) Balance model, readability, repeatability, humidity, equilibration.
2) Repeated weighings; stability criterion.
3) Chromic-acid temperature, time, repeated cleaning; blank-control mass change.
4) Specimen-level data table.
5) State plateau 14-28 d is consistent with the data, not demonstrated (Welch p about 0.5; early vs late rates differ).</t>
        </is>
      </c>
      <c r="F8" s="2" t="inlineStr">
        <is>
          <t>Methods paragraph; SI table of specimen data</t>
        </is>
      </c>
      <c r="G8" s="2" t="inlineStr">
        <is>
          <t>- (your lab records)</t>
        </is>
      </c>
      <c r="H8" s="2" t="inlineStr">
        <is>
          <t>D</t>
        </is>
      </c>
      <c r="I8" s="2" t="inlineStr">
        <is>
          <t>Not started</t>
        </is>
      </c>
      <c r="J8" s="3" t="n">
        <v>0</v>
      </c>
      <c r="K8" s="2" t="inlineStr">
        <is>
          <t>Needs your experimental records; statistics for the plateau sentence already prepared.</t>
        </is>
      </c>
    </row>
    <row r="9" ht="89.25" customHeight="1">
      <c r="A9" s="2" t="n">
        <v>8</v>
      </c>
      <c r="B9" s="2" t="inlineStr">
        <is>
          <t>Experimental vs computational domain (44 mL vs 27 mL)</t>
        </is>
      </c>
      <c r="C9" s="2" t="inlineStr">
        <is>
          <t>Major</t>
        </is>
      </c>
      <c r="D9" s="2" t="inlineStr">
        <is>
          <t>Compute + text</t>
        </is>
      </c>
      <c r="E9" s="2" t="inlineStr">
        <is>
          <t>1) Explain domain choice; compare container geometry, specimen position and depth.
2) Domain-size and top-boundary sensitivity on v4 (box 15/30/60, depth).
3) Add optional 48 h medium reset to the code and quantify its effect on Zn2+, pH, O2, film.
4) Explain why renewal is ignored while O2 is replenished.</t>
        </is>
      </c>
      <c r="F9" s="2" t="inlineStr">
        <is>
          <t>Sensitivity figure/table in SI; paragraph in Methods</t>
        </is>
      </c>
      <c r="G9" s="2" t="inlineStr">
        <is>
          <t>A</t>
        </is>
      </c>
      <c r="H9" s="2" t="inlineStr">
        <is>
          <t>B</t>
        </is>
      </c>
      <c r="I9" s="2" t="inlineStr">
        <is>
          <t>In progress</t>
        </is>
      </c>
      <c r="J9" s="3" t="n">
        <v>40</v>
      </c>
      <c r="K9" s="2" t="inlineStr">
        <is>
          <t>Old-code ablation (box sizes, open O2) exists; must be redone on v4.
Update 09-Oct: SI: new section S9 + Figure S10 (disc with no / top+bottom / sides / all O2-replenishing faces; initial O2 1.5-7.5e-9 g/mm3); manuscript limitation sentence on 27 mL vs 44 mL added. Not done: box 15/60 mm, top-boundary level, 48 h reset, v4 re-run of the old ablation.</t>
        </is>
      </c>
    </row>
    <row r="10" ht="63.75" customHeight="1">
      <c r="A10" s="2" t="n">
        <v>9</v>
      </c>
      <c r="B10" s="2" t="inlineStr">
        <is>
          <t>Continuous O2 replenishment without convection</t>
        </is>
      </c>
      <c r="C10" s="2" t="inlineStr">
        <is>
          <t>Major</t>
        </is>
      </c>
      <c r="D10" s="2" t="inlineStr">
        <is>
          <t>Compute + text</t>
        </is>
      </c>
      <c r="E10" s="2" t="inlineStr">
        <is>
          <t>1) Sensitivity runs: initial O2, top-boundary O2, liquid depth, sealed vs open, 48 h reset.
2) State that k_ORR is effective and conditional on the assumed O2 history.
3) If possible, measure DO in HBSS.</t>
        </is>
      </c>
      <c r="F10" s="2" t="inlineStr">
        <is>
          <t>SI sensitivity table; limitation sentence</t>
        </is>
      </c>
      <c r="G10" s="2" t="inlineStr">
        <is>
          <t>A, 8</t>
        </is>
      </c>
      <c r="H10" s="2" t="inlineStr">
        <is>
          <t>B</t>
        </is>
      </c>
      <c r="I10" s="2" t="inlineStr">
        <is>
          <t>Draft done</t>
        </is>
      </c>
      <c r="J10" s="3" t="n">
        <v>80</v>
      </c>
      <c r="K10" s="2" t="inlineStr">
        <is>
          <t>Ran sealed vs open, directions and also intial O2 conc runs
Update 09-Oct: Sealed vs open (None vs All: 0.055 % vs 0.426 % at 672 h) and liquid depth (top+bottom vs sides: 0.424 % vs 0.397 %) interpreted in S9; initial-O2 runs (0.160 / 0.593 / 0.813 % for 1.5 / 5.5 / 7.5 mg/L); source data sheets Supplementary Figure 10a,b added; limitation sentence added (continuous O2 may not reflect 48 h renewal; k_ORR conditional on assumed O2 history). Open: 48 h reset run, HBSS DO measurement, 3.5 mg/L curve missing from the data file, and the panel (a) vs (b) baseline mismatch (0.426 % vs about 0.335 %) must be explained.</t>
        </is>
      </c>
    </row>
    <row r="11" ht="76.5" customHeight="1">
      <c r="A11" s="2" t="n">
        <v>10</v>
      </c>
      <c r="B11" s="2" t="inlineStr">
        <is>
          <t>Single-phase ZnO film simplification; wording of F/Fmax</t>
        </is>
      </c>
      <c r="C11" s="2" t="inlineStr">
        <is>
          <t>Moderate</t>
        </is>
      </c>
      <c r="D11" s="2" t="inlineStr">
        <is>
          <t>Compute + text</t>
        </is>
      </c>
      <c r="E11" s="2" t="inlineStr">
        <is>
          <t>1) Use 'film coverage' only for theta (now a true surface variable); remove 'F/Fmax coverage' wording elsewhere.
2) Sensitivity to porosity, tortuosity, density, thickness.
3) Separate O2 depletion by consumption from film blocking (film on vs off runs).
4) Moderate mechanistic claims.</t>
        </is>
      </c>
      <c r="F11" s="2" t="inlineStr">
        <is>
          <t>Text edits; SI sensitivity table</t>
        </is>
      </c>
      <c r="G11" s="2" t="inlineStr">
        <is>
          <t>A</t>
        </is>
      </c>
      <c r="H11" s="2" t="inlineStr">
        <is>
          <t>B</t>
        </is>
      </c>
      <c r="I11" s="2" t="inlineStr">
        <is>
          <t>In progress</t>
        </is>
      </c>
      <c r="J11" s="3" t="n">
        <v>20</v>
      </c>
      <c r="K11" s="2" t="inlineStr">
        <is>
          <t>Surface-film model implemented; film tests running; thickness delta_f still an assumption (5 um).
Update 09-Oct: Decision: manuscript keeps the volumetric film (F, Fmax, D_eff reduction) matching the code now used; theta / delta_f surface-film wording not applied. Film sensitivities not yet run.</t>
        </is>
      </c>
    </row>
    <row r="12" ht="63.75" customHeight="1">
      <c r="A12" s="2" t="n">
        <v>11</v>
      </c>
      <c r="B12" s="2" t="inlineStr">
        <is>
          <t>Chloride second-order dependence</t>
        </is>
      </c>
      <c r="C12" s="2" t="inlineStr">
        <is>
          <t>Moderate</t>
        </is>
      </c>
      <c r="D12" s="2" t="inlineStr">
        <is>
          <t>Compute + text</t>
        </is>
      </c>
      <c r="E12" s="2" t="inlineStr">
        <is>
          <t>1) Explain origin of Cl^2 (effective order).
2) Test exponent 1 vs 2 (show only rescales k_d because Cl is uniform).
3) Show chloride field varies little, so Eq. 8 is optional.
4) Say 'mechanistically informed effective model'.</t>
        </is>
      </c>
      <c r="F12" s="2" t="inlineStr">
        <is>
          <t>Paragraph + small SI test</t>
        </is>
      </c>
      <c r="G12" s="2" t="inlineStr">
        <is>
          <t>A</t>
        </is>
      </c>
      <c r="H12" s="2" t="inlineStr">
        <is>
          <t>B</t>
        </is>
      </c>
      <c r="I12" s="2" t="inlineStr">
        <is>
          <t>In progress</t>
        </is>
      </c>
      <c r="J12" s="3" t="n">
        <v>10</v>
      </c>
      <c r="K12" s="2" t="inlineStr">
        <is>
          <t>Cl^2 confirmed in code; mass-based k_d conversion factor 7.96e8 known.
Update 09-Oct: k_d now stated in mm6 g-2 h-1 (Table 2 ranges, SI Table S5, units table S13); exponent test not run.</t>
        </is>
      </c>
    </row>
    <row r="13" ht="25.5" customHeight="1">
      <c r="A13" s="2" t="n">
        <v>12</v>
      </c>
      <c r="B13" s="2" t="inlineStr">
        <is>
          <t>O2 balance vs Zn loss</t>
        </is>
      </c>
      <c r="C13" s="2" t="inlineStr">
        <is>
          <t>Major</t>
        </is>
      </c>
      <c r="D13" s="2" t="inlineStr">
        <is>
          <t>Compute + text</t>
        </is>
      </c>
      <c r="E13" s="2" t="inlineStr">
        <is>
          <t>Report n_Zn,lost, n_O2,consumed and ratio at 24/168/336/672 h for the final model; explain any deviation.</t>
        </is>
      </c>
      <c r="F13" s="2" t="inlineStr">
        <is>
          <t>Table S-B (O2 columns)</t>
        </is>
      </c>
      <c r="G13" s="2" t="inlineStr">
        <is>
          <t>A, 2</t>
        </is>
      </c>
      <c r="H13" s="2" t="inlineStr">
        <is>
          <t>B</t>
        </is>
      </c>
      <c r="I13" s="2" t="inlineStr">
        <is>
          <t>In progress</t>
        </is>
      </c>
      <c r="J13" s="3" t="n">
        <v>60</v>
      </c>
      <c r="K13" s="2" t="inlineStr">
        <is>
          <t>v4: Zn source / O2-stoichiometry 1.03-1.18; v2: 19-21x out. Redo on final model.</t>
        </is>
      </c>
    </row>
    <row r="14" ht="51" customHeight="1">
      <c r="A14" s="2" t="n">
        <v>13</v>
      </c>
      <c r="B14" s="2" t="inlineStr">
        <is>
          <t>Geometry transfer (one stent) and basis of 6-7 % in vivo range</t>
        </is>
      </c>
      <c r="C14" s="2" t="inlineStr">
        <is>
          <t>Moderate</t>
        </is>
      </c>
      <c r="D14" s="2" t="inlineStr">
        <is>
          <t>Compute + text</t>
        </is>
      </c>
      <c r="E14" s="2" t="inlineStr">
        <is>
          <t>1) Re-run stent on v4 with final parameters.
2) Reword as order-of-magnitude consistency check.
3) Document the in vivo metric (what is measured, how, material, duration).</t>
        </is>
      </c>
      <c r="F14" s="2" t="inlineStr">
        <is>
          <t>Stent results; wording; citation details</t>
        </is>
      </c>
      <c r="G14" s="2" t="inlineStr">
        <is>
          <t>A</t>
        </is>
      </c>
      <c r="H14" s="2" t="inlineStr">
        <is>
          <t>C</t>
        </is>
      </c>
      <c r="I14" s="2" t="inlineStr">
        <is>
          <t>Not started</t>
        </is>
      </c>
      <c r="J14" s="3" t="n">
        <v>0</v>
      </c>
      <c r="K14" s="2" t="inlineStr">
        <is>
          <t>Stent mesh is 21M tetrahedra; needs large cores.
Update 09-Oct: Decision: kinetic parameters re-calibrated on v4, validation and stent runs kept from earlier runs for now. Manuscript/SI must disclose which model and parameters produced each result and remove "no further adjustment" wording if parameters differ (not yet written). One v4 consistency run recommended.</t>
        </is>
      </c>
    </row>
    <row r="15" ht="25.5" customHeight="1">
      <c r="A15" s="2" t="n">
        <v>14</v>
      </c>
      <c r="B15" s="2" t="inlineStr">
        <is>
          <t>SA:V baseline comparison</t>
        </is>
      </c>
      <c r="C15" s="2" t="inlineStr">
        <is>
          <t>Moderate</t>
        </is>
      </c>
      <c r="D15" s="2" t="inlineStr">
        <is>
          <t>Text (+ stent run)</t>
        </is>
      </c>
      <c r="E15" s="2" t="inlineStr">
        <is>
          <t>1) Report naive SA:V scaling (12-13 %) against the model (about 6 %).
2) Separate global mass loss, local recession and transition time.</t>
        </is>
      </c>
      <c r="F15" s="2" t="inlineStr">
        <is>
          <t>Paragraph + SI table</t>
        </is>
      </c>
      <c r="G15" s="2" t="inlineStr">
        <is>
          <t>13</t>
        </is>
      </c>
      <c r="H15" s="2" t="inlineStr">
        <is>
          <t>C</t>
        </is>
      </c>
      <c r="I15" s="2" t="inlineStr">
        <is>
          <t>Not started</t>
        </is>
      </c>
      <c r="J15" s="3" t="n">
        <v>40</v>
      </c>
      <c r="K15" s="2" t="inlineStr">
        <is>
          <t>Numbers already worked out (SA:V 38.5x).
Update 09-Oct: SA/V appears in SI Table S4 (disc 1.40, stent 53.9 mm-1), Table S12 (16.07 / 24.11 / 48.21 mm-1) and Figure S8; comparison paragraph (naive scaling 12-13 % vs model about 6 %) to go in S7 after Figure S8 - not yet written, definition of the two numbers needed.</t>
        </is>
      </c>
    </row>
    <row r="16" ht="51" customHeight="1">
      <c r="A16" s="2" t="n">
        <v>15</v>
      </c>
      <c r="B16" s="2" t="inlineStr">
        <is>
          <t>Crown-localisation claims need validation / sub-element accuracy</t>
        </is>
      </c>
      <c r="C16" s="2" t="inlineStr">
        <is>
          <t>Moderate</t>
        </is>
      </c>
      <c r="D16" s="2" t="inlineStr">
        <is>
          <t>Compute + text</t>
        </is>
      </c>
      <c r="E16" s="2" t="inlineStr">
        <is>
          <t>1) Label 13.2x ratio and crown asymmetry as predictions.
2) Moving-interface benchmark and local penetration-convergence study at micrometre scale.
3) Define the measurement points.</t>
        </is>
      </c>
      <c r="F16" s="2" t="inlineStr">
        <is>
          <t>SI benchmark figure; text</t>
        </is>
      </c>
      <c r="G16" s="2" t="inlineStr">
        <is>
          <t>A, 16</t>
        </is>
      </c>
      <c r="H16" s="2" t="inlineStr">
        <is>
          <t>C</t>
        </is>
      </c>
      <c r="I16" s="2" t="inlineStr">
        <is>
          <t>Not started</t>
        </is>
      </c>
      <c r="J16" s="3" t="n">
        <v>5</v>
      </c>
      <c r="K16" s="2" t="n"/>
    </row>
    <row r="17" ht="38.25" customHeight="1">
      <c r="A17" s="2" t="n">
        <v>16</v>
      </c>
      <c r="B17" s="2" t="inlineStr">
        <is>
          <t>Time-step and re-initialisation convergence</t>
        </is>
      </c>
      <c r="C17" s="2" t="inlineStr">
        <is>
          <t>Major</t>
        </is>
      </c>
      <c r="D17" s="2" t="inlineStr">
        <is>
          <t>Compute + text</t>
        </is>
      </c>
      <c r="E17" s="2" t="inlineStr">
        <is>
          <t>1) dt = 0.5, 0.25, 0.125 h; reinitialisation 0.5/1/2 h.
2) Compare mass loss, penetration depth, transition time, solid-volume conservation, crown ratios.</t>
        </is>
      </c>
      <c r="F17" s="2" t="inlineStr">
        <is>
          <t>SI convergence table</t>
        </is>
      </c>
      <c r="G17" s="2" t="inlineStr">
        <is>
          <t>A</t>
        </is>
      </c>
      <c r="H17" s="2" t="inlineStr">
        <is>
          <t>C</t>
        </is>
      </c>
      <c r="I17" s="2" t="inlineStr">
        <is>
          <t>Not started</t>
        </is>
      </c>
      <c r="J17" s="3" t="n">
        <v>0</v>
      </c>
      <c r="K17" s="2" t="inlineStr">
        <is>
          <t>Calibration uses dt 4 h without reinit; production uses 0.25 h and 1 h reinit - state both.</t>
        </is>
      </c>
    </row>
    <row r="18" ht="38.25" customHeight="1">
      <c r="A18" s="2" t="n">
        <v>17</v>
      </c>
      <c r="B18" s="2" t="inlineStr">
        <is>
          <t>Damkohler number definition</t>
        </is>
      </c>
      <c r="C18" s="2" t="inlineStr">
        <is>
          <t>Moderate</t>
        </is>
      </c>
      <c r="D18" s="2" t="inlineStr">
        <is>
          <t>Compute + text</t>
        </is>
      </c>
      <c r="E18" s="2" t="inlineStr">
        <is>
          <t>1) Give an operational definition and the area-weighted threshold.
2) Plot interface-area fraction by regime vs time (disc and stent).
3) Check mesh sensitivity.</t>
        </is>
      </c>
      <c r="F18" s="2" t="inlineStr">
        <is>
          <t>SI figure; definition in Methods</t>
        </is>
      </c>
      <c r="G18" s="2" t="inlineStr">
        <is>
          <t>A, 13</t>
        </is>
      </c>
      <c r="H18" s="2" t="inlineStr">
        <is>
          <t>C</t>
        </is>
      </c>
      <c r="I18" s="2" t="inlineStr">
        <is>
          <t>Draft done</t>
        </is>
      </c>
      <c r="J18" s="3" t="n">
        <v>0</v>
      </c>
      <c r="K18" s="2" t="n"/>
    </row>
    <row r="19" ht="25.5" customHeight="1">
      <c r="A19" s="2" t="n">
        <v>18</v>
      </c>
      <c r="B19" s="2" t="inlineStr">
        <is>
          <t>Design-optimisation claims not demonstrated</t>
        </is>
      </c>
      <c r="C19" s="2" t="inlineStr">
        <is>
          <t>Moderate</t>
        </is>
      </c>
      <c r="D19" s="2" t="inlineStr">
        <is>
          <t>Text (optional FE)</t>
        </is>
      </c>
      <c r="E19" s="2" t="inlineStr">
        <is>
          <t>Moderate the design-optimisation wording, or add a small mechanical case (stiffness/stress before and after crown recession).</t>
        </is>
      </c>
      <c r="F19" s="2" t="inlineStr">
        <is>
          <t>Edits in abstract/discussion</t>
        </is>
      </c>
      <c r="G19" s="2" t="inlineStr">
        <is>
          <t>13, 15</t>
        </is>
      </c>
      <c r="H19" s="2" t="inlineStr">
        <is>
          <t>D</t>
        </is>
      </c>
      <c r="I19" s="2" t="inlineStr">
        <is>
          <t>Draft done</t>
        </is>
      </c>
      <c r="J19" s="3" t="n">
        <v>0</v>
      </c>
      <c r="K19" s="2" t="n"/>
    </row>
  </sheetData>
  <autoFilter ref="A1:K19"/>
  <conditionalFormatting sqref="I2:I19">
    <cfRule type="cellIs" priority="1" operator="equal" dxfId="4">
      <formula>"Done"</formula>
    </cfRule>
    <cfRule type="cellIs" priority="2" operator="equal" dxfId="3">
      <formula>"In progress"</formula>
    </cfRule>
    <cfRule type="cellIs" priority="3" operator="equal" dxfId="2">
      <formula>"Draft done"</formula>
    </cfRule>
    <cfRule type="cellIs" priority="4" operator="equal" dxfId="1">
      <formula>"Waiting on compute"</formula>
    </cfRule>
    <cfRule type="cellIs" priority="5" operator="equal" dxfId="0">
      <formula>"Not started"</formula>
    </cfRule>
  </conditionalFormatting>
  <dataValidations count="1">
    <dataValidation sqref="I2:I19" showDropDown="0" showInputMessage="0" showErrorMessage="0" allowBlank="0" type="list">
      <formula1>"Not started,In progress,Draft done,Waiting on compute,Done"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18" customHeight="1">
      <c r="A1" s="4" t="inlineStr">
        <is>
          <t>Reviewer-response progress</t>
        </is>
      </c>
    </row>
    <row r="3">
      <c r="A3" s="5" t="inlineStr">
        <is>
          <t>Status</t>
        </is>
      </c>
      <c r="B3" s="5" t="inlineStr">
        <is>
          <t>Count</t>
        </is>
      </c>
    </row>
    <row r="4">
      <c r="A4" s="6" t="inlineStr">
        <is>
          <t>Not started</t>
        </is>
      </c>
      <c r="B4" s="6">
        <f>COUNTIF(Tracker!I2:I19,"Not started")</f>
        <v/>
      </c>
    </row>
    <row r="5">
      <c r="A5" s="6" t="inlineStr">
        <is>
          <t>In progress</t>
        </is>
      </c>
      <c r="B5" s="6">
        <f>COUNTIF(Tracker!I2:I19,"In progress")</f>
        <v/>
      </c>
    </row>
    <row r="6">
      <c r="A6" s="6" t="inlineStr">
        <is>
          <t>Draft done</t>
        </is>
      </c>
      <c r="B6" s="6">
        <f>COUNTIF(Tracker!I2:I19,"Draft done")</f>
        <v/>
      </c>
    </row>
    <row r="7">
      <c r="A7" s="6" t="inlineStr">
        <is>
          <t>Waiting on compute</t>
        </is>
      </c>
      <c r="B7" s="6">
        <f>COUNTIF(Tracker!I2:I19,"Waiting on compute")</f>
        <v/>
      </c>
    </row>
    <row r="8">
      <c r="A8" s="6" t="inlineStr">
        <is>
          <t>Done</t>
        </is>
      </c>
      <c r="B8" s="6">
        <f>COUNTIF(Tracker!I2:I19,"Done")</f>
        <v/>
      </c>
    </row>
    <row r="9">
      <c r="A9" s="6" t="inlineStr">
        <is>
          <t>Total comments</t>
        </is>
      </c>
      <c r="B9" s="6">
        <f>COUNTA(Tracker!A2:A19)</f>
        <v/>
      </c>
    </row>
    <row r="10">
      <c r="A10" s="6" t="inlineStr">
        <is>
          <t>Average % done</t>
        </is>
      </c>
      <c r="B10" s="7">
        <f>AVERAGE(Tracker!J2:J19)</f>
        <v/>
      </c>
    </row>
    <row r="12">
      <c r="A12" s="8" t="inlineStr">
        <is>
          <t>Update the Status and % done columns on the Tracker sheet; these counts update automatically.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  <col width="24" customWidth="1" min="3" max="3"/>
    <col width="70" customWidth="1" min="4" max="4"/>
  </cols>
  <sheetData>
    <row r="1">
      <c r="A1" s="9" t="inlineStr">
        <is>
          <t>Phase</t>
        </is>
      </c>
      <c r="B1" s="9" t="inlineStr">
        <is>
          <t>What</t>
        </is>
      </c>
      <c r="C1" s="9" t="inlineStr">
        <is>
          <t>Comments</t>
        </is>
      </c>
      <c r="D1" s="9" t="inlineStr">
        <is>
          <t>Why this order</t>
        </is>
      </c>
    </row>
    <row r="2" ht="25.5" customHeight="1">
      <c r="A2" s="2" t="inlineStr">
        <is>
          <t>A  Freeze the model</t>
        </is>
      </c>
      <c r="B2" s="2" t="inlineStr">
        <is>
          <t>Film tests -&gt; film-mode calibration (k_ORR, k_f, k_d) -&gt; mesh correction on v4 -&gt; fix delta_f, rho_film, tau, D values</t>
        </is>
      </c>
      <c r="C2" s="2" t="inlineStr">
        <is>
          <t>1, 5, 10, 11</t>
        </is>
      </c>
      <c r="D2" s="2" t="inlineStr">
        <is>
          <t>Every number and figure downstream depends on the final parameters.</t>
        </is>
      </c>
    </row>
    <row r="3" ht="25.5" customHeight="1">
      <c r="A3" s="2" t="inlineStr">
        <is>
          <t>B  Analyses on the frozen model</t>
        </is>
      </c>
      <c r="B3" s="2" t="inlineStr">
        <is>
          <t>Balance table, O2 balance, Zn2+/pH metrics, domain / O2 / 48 h sensitivities, film sensitivities, chloride exponent, uncertainty</t>
        </is>
      </c>
      <c r="C3" s="2" t="inlineStr">
        <is>
          <t>2, 4, 8, 9, 12 (then 6)</t>
        </is>
      </c>
      <c r="D3" s="2" t="inlineStr">
        <is>
          <t>Each reuses the same disc runs; do the balance first because it feeds the text in 2 and 12.</t>
        </is>
      </c>
    </row>
    <row r="4" ht="25.5" customHeight="1">
      <c r="A4" s="2" t="inlineStr">
        <is>
          <t>C  Heavy runs</t>
        </is>
      </c>
      <c r="B4" s="2" t="inlineStr">
        <is>
          <t>Stent on v4, SA:V comparison, time-step / reinit convergence, local-penetration benchmark, Damkohler regime fractions</t>
        </is>
      </c>
      <c r="C4" s="2" t="inlineStr">
        <is>
          <t>13, 14, 15, 16, 17</t>
        </is>
      </c>
      <c r="D4" s="2" t="inlineStr">
        <is>
          <t>Needs large cores and the frozen parameters; run last.</t>
        </is>
      </c>
    </row>
    <row r="5" ht="25.5" customHeight="1">
      <c r="A5" s="2" t="inlineStr">
        <is>
          <t>D  Text only (can start now)</t>
        </is>
      </c>
      <c r="B5" s="2" t="inlineStr">
        <is>
          <t>Velocity-rule derivation and rewrite of S1, experimental details, plateau wording, design-claim moderation, terminology</t>
        </is>
      </c>
      <c r="C5" s="2" t="inlineStr">
        <is>
          <t>3, 7, 18, (4)</t>
        </is>
      </c>
      <c r="D5" s="2" t="inlineStr">
        <is>
          <t>No compute; 7 needs your lab records.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  <col width="28" customWidth="1" min="3" max="4"/>
    <col width="18" customWidth="1" min="5" max="5"/>
  </cols>
  <sheetData>
    <row r="1">
      <c r="A1" s="9" t="inlineStr">
        <is>
          <t>Run set</t>
        </is>
      </c>
      <c r="B1" s="9" t="inlineStr">
        <is>
          <t>Model / mesh</t>
        </is>
      </c>
      <c r="C1" s="9" t="inlineStr">
        <is>
          <t>Size</t>
        </is>
      </c>
      <c r="D1" s="9" t="inlineStr">
        <is>
          <t>Status</t>
        </is>
      </c>
      <c r="E1" s="9" t="inlineStr">
        <is>
          <t>Feeds comments</t>
        </is>
      </c>
    </row>
    <row r="2">
      <c r="A2" s="2" t="inlineStr">
        <is>
          <t>Film-mode calibration, phase 1 (16 round-number points)</t>
        </is>
      </c>
      <c r="B2" s="2" t="inlineStr">
        <is>
          <t>v4 surface film, coarse disc, 336 h</t>
        </is>
      </c>
      <c r="C2" s="2" t="inlineStr">
        <is>
          <t>16 x 4 cores, ~25 min each</t>
        </is>
      </c>
      <c r="D2" s="2" t="inlineStr">
        <is>
          <t>Running (job 60860656)</t>
        </is>
      </c>
      <c r="E2" s="2" t="inlineStr">
        <is>
          <t>1, 5, 10</t>
        </is>
      </c>
    </row>
    <row r="3">
      <c r="A3" s="2" t="inlineStr">
        <is>
          <t>Film-mode phases 2 and 3 (EI + local)</t>
        </is>
      </c>
      <c r="B3" s="2" t="inlineStr">
        <is>
          <t>same</t>
        </is>
      </c>
      <c r="C3" s="2" t="inlineStr">
        <is>
          <t>16 more runs</t>
        </is>
      </c>
      <c r="D3" s="2" t="inlineStr">
        <is>
          <t>Planned</t>
        </is>
      </c>
      <c r="E3" s="2" t="inlineStr">
        <is>
          <t>1, 5</t>
        </is>
      </c>
    </row>
    <row r="4">
      <c r="A4" s="2" t="inlineStr">
        <is>
          <t>Second BO repeat (different seed)</t>
        </is>
      </c>
      <c r="B4" s="2" t="inlineStr">
        <is>
          <t>same</t>
        </is>
      </c>
      <c r="C4" s="2" t="inlineStr">
        <is>
          <t>28 runs</t>
        </is>
      </c>
      <c r="D4" s="2" t="inlineStr">
        <is>
          <t>Planned</t>
        </is>
      </c>
      <c r="E4" s="2" t="inlineStr">
        <is>
          <t>5</t>
        </is>
      </c>
    </row>
    <row r="5">
      <c r="A5" s="2" t="inlineStr">
        <is>
          <t>Fine-mesh correction pairs</t>
        </is>
      </c>
      <c r="B5" s="2" t="inlineStr">
        <is>
          <t>v4 film, disc hmin0.25, 336 h</t>
        </is>
      </c>
      <c r="C5" s="2" t="inlineStr">
        <is>
          <t>4-8 x 16 cores</t>
        </is>
      </c>
      <c r="D5" s="2" t="inlineStr">
        <is>
          <t>Planned</t>
        </is>
      </c>
      <c r="E5" s="2" t="inlineStr">
        <is>
          <t>1</t>
        </is>
      </c>
    </row>
    <row r="6">
      <c r="A6" s="2" t="inlineStr">
        <is>
          <t>Mesh convergence at final parameters</t>
        </is>
      </c>
      <c r="B6" s="2" t="inlineStr">
        <is>
          <t>L1-L6 + reference</t>
        </is>
      </c>
      <c r="C6" s="2" t="inlineStr">
        <is>
          <t>up to 21M tetrahedra</t>
        </is>
      </c>
      <c r="D6" s="2" t="inlineStr">
        <is>
          <t>Planned (check cost)</t>
        </is>
      </c>
      <c r="E6" s="2" t="inlineStr">
        <is>
          <t>1</t>
        </is>
      </c>
    </row>
    <row r="7">
      <c r="A7" s="2" t="inlineStr">
        <is>
          <t>Balance table runs (672 h, VTK every 24 h)</t>
        </is>
      </c>
      <c r="B7" s="2" t="inlineStr">
        <is>
          <t>final model, closed and top-open</t>
        </is>
      </c>
      <c r="C7" s="2" t="inlineStr">
        <is>
          <t>2 x 4 cores, ~45 min</t>
        </is>
      </c>
      <c r="D7" s="2" t="inlineStr">
        <is>
          <t>Planned</t>
        </is>
      </c>
      <c r="E7" s="2" t="inlineStr">
        <is>
          <t>2, 12</t>
        </is>
      </c>
    </row>
    <row r="8">
      <c r="A8" s="2" t="inlineStr">
        <is>
          <t>Domain / O2 / depth / 48 h reset sensitivities</t>
        </is>
      </c>
      <c r="B8" s="2" t="inlineStr">
        <is>
          <t>final model</t>
        </is>
      </c>
      <c r="C8" s="2" t="inlineStr">
        <is>
          <t>about 12 runs</t>
        </is>
      </c>
      <c r="D8" s="2" t="inlineStr">
        <is>
          <t>Partly done (boundary variants and initial-O2 runs; box size and 48 h reset pending)</t>
        </is>
      </c>
      <c r="E8" s="2" t="inlineStr">
        <is>
          <t>8, 9</t>
        </is>
      </c>
    </row>
    <row r="9">
      <c r="A9" s="2" t="inlineStr">
        <is>
          <t>Film parameter and chloride-exponent sensitivities</t>
        </is>
      </c>
      <c r="B9" s="2" t="inlineStr">
        <is>
          <t>final model</t>
        </is>
      </c>
      <c r="C9" s="2" t="inlineStr">
        <is>
          <t>about 12 runs</t>
        </is>
      </c>
      <c r="D9" s="2" t="inlineStr">
        <is>
          <t>Planned</t>
        </is>
      </c>
      <c r="E9" s="2" t="inlineStr">
        <is>
          <t>10, 11</t>
        </is>
      </c>
    </row>
    <row r="10">
      <c r="A10" s="2" t="inlineStr">
        <is>
          <t>Morris repeat (calibration ranges)</t>
        </is>
      </c>
      <c r="B10" s="2" t="inlineStr">
        <is>
          <t>final model</t>
        </is>
      </c>
      <c r="C10" s="2" t="inlineStr">
        <is>
          <t>180 runs x 10 min</t>
        </is>
      </c>
      <c r="D10" s="2" t="inlineStr">
        <is>
          <t>Design ready, cancelled for now</t>
        </is>
      </c>
      <c r="E10" s="2" t="inlineStr">
        <is>
          <t>5, 6</t>
        </is>
      </c>
    </row>
    <row r="11">
      <c r="A11" s="2" t="inlineStr">
        <is>
          <t>Parameter-propagated ensemble</t>
        </is>
      </c>
      <c r="B11" s="2" t="inlineStr">
        <is>
          <t>final model</t>
        </is>
      </c>
      <c r="C11" s="2" t="inlineStr">
        <is>
          <t>50-200 runs</t>
        </is>
      </c>
      <c r="D11" s="2" t="inlineStr">
        <is>
          <t>Planned</t>
        </is>
      </c>
      <c r="E11" s="2" t="inlineStr">
        <is>
          <t>6</t>
        </is>
      </c>
    </row>
    <row r="12">
      <c r="A12" s="2" t="inlineStr">
        <is>
          <t>HBSS validation and stent</t>
        </is>
      </c>
      <c r="B12" s="2" t="inlineStr">
        <is>
          <t>final model, production meshes</t>
        </is>
      </c>
      <c r="C12" s="2" t="inlineStr">
        <is>
          <t>large</t>
        </is>
      </c>
      <c r="D12" s="2" t="inlineStr">
        <is>
          <t>Planned</t>
        </is>
      </c>
      <c r="E12" s="2" t="inlineStr">
        <is>
          <t>13, 14, 15, 17</t>
        </is>
      </c>
    </row>
    <row r="13">
      <c r="A13" s="2" t="inlineStr">
        <is>
          <t>dt / reinit convergence</t>
        </is>
      </c>
      <c r="B13" s="2" t="inlineStr">
        <is>
          <t>arc or stent subset</t>
        </is>
      </c>
      <c r="C13" s="2" t="inlineStr">
        <is>
          <t>about 10 runs</t>
        </is>
      </c>
      <c r="D13" s="2" t="inlineStr">
        <is>
          <t>Planned</t>
        </is>
      </c>
      <c r="E13" s="2" t="inlineStr">
        <is>
          <t>15, 16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95" customWidth="1" min="3" max="3"/>
    <col width="16" customWidth="1" min="4" max="4"/>
  </cols>
  <sheetData>
    <row r="1">
      <c r="A1" s="10" t="inlineStr">
        <is>
          <t>Date</t>
        </is>
      </c>
      <c r="B1" s="10" t="inlineStr">
        <is>
          <t>File</t>
        </is>
      </c>
      <c r="C1" s="10" t="inlineStr">
        <is>
          <t>Change</t>
        </is>
      </c>
      <c r="D1" s="10" t="inlineStr">
        <is>
          <t>Tracker ID</t>
        </is>
      </c>
    </row>
    <row r="2">
      <c r="A2" s="11" t="inlineStr">
        <is>
          <t>09-Oct</t>
        </is>
      </c>
      <c r="B2" s="11" t="inlineStr">
        <is>
          <t>Manuscript</t>
        </is>
      </c>
      <c r="C2" s="11" t="inlineStr">
        <is>
          <t>Eqs 7, 9, 10, 14 in j_ORR molar form; F molar and Fmax = rho_film(1-eps)/M_film; kappa(F) removed; Table 1 concentrations molar; Robin wording replaced</t>
        </is>
      </c>
      <c r="D2" s="11" t="inlineStr">
        <is>
          <t>2, 3</t>
        </is>
      </c>
    </row>
    <row r="3">
      <c r="A3" s="11" t="inlineStr">
        <is>
          <t>09-Oct</t>
        </is>
      </c>
      <c r="B3" s="11" t="inlineStr">
        <is>
          <t>Manuscript</t>
        </is>
      </c>
      <c r="C3" s="11" t="inlineStr">
        <is>
          <t>Limitations: 27 mL vs 44 mL domain; continuous O2 replenishment vs 48 h renewal (k_ORR conditional)</t>
        </is>
      </c>
      <c r="D3" s="11" t="inlineStr">
        <is>
          <t>8, 9</t>
        </is>
      </c>
    </row>
    <row r="4">
      <c r="A4" s="11" t="inlineStr">
        <is>
          <t>09-Oct</t>
        </is>
      </c>
      <c r="B4" s="11" t="inlineStr">
        <is>
          <t>Supplementary</t>
        </is>
      </c>
      <c r="C4" s="11" t="inlineStr">
        <is>
          <t>Table S5 Morris ranges updated (k_f, k_d, k_ORR, C_O2,0)</t>
        </is>
      </c>
      <c r="D4" s="11" t="inlineStr">
        <is>
          <t>5, 11</t>
        </is>
      </c>
    </row>
    <row r="5">
      <c r="A5" s="11" t="inlineStr">
        <is>
          <t>09-Oct</t>
        </is>
      </c>
      <c r="B5" s="11" t="inlineStr">
        <is>
          <t>Supplementary</t>
        </is>
      </c>
      <c r="C5" s="11" t="inlineStr">
        <is>
          <t>Figure S4 rebuilt: normalized parameter trajectories and RMSE surfaces (32 BO evaluations); caption updated</t>
        </is>
      </c>
      <c r="D5" s="11" t="inlineStr">
        <is>
          <t>5</t>
        </is>
      </c>
    </row>
    <row r="6">
      <c r="A6" s="11" t="inlineStr">
        <is>
          <t>09-Oct</t>
        </is>
      </c>
      <c r="B6" s="11" t="inlineStr">
        <is>
          <t>Supplementary</t>
        </is>
      </c>
      <c r="C6" s="11" t="inlineStr">
        <is>
          <t>S8: Figure S9 mesh correction (L2 vs L6, factor 1.355846)</t>
        </is>
      </c>
      <c r="D6" s="11" t="inlineStr">
        <is>
          <t>1</t>
        </is>
      </c>
    </row>
    <row r="7">
      <c r="A7" s="11" t="inlineStr">
        <is>
          <t>09-Oct</t>
        </is>
      </c>
      <c r="B7" s="11" t="inlineStr">
        <is>
          <t>Supplementary</t>
        </is>
      </c>
      <c r="C7" s="11" t="inlineStr">
        <is>
          <t>New S9 + Figure S10: domain and O2 supply (replenishing faces, sealed vs open, depth, initial O2)</t>
        </is>
      </c>
      <c r="D7" s="11" t="inlineStr">
        <is>
          <t>8, 9</t>
        </is>
      </c>
    </row>
    <row r="8">
      <c r="A8" s="11" t="inlineStr">
        <is>
          <t>09-Oct</t>
        </is>
      </c>
      <c r="B8" s="11" t="inlineStr">
        <is>
          <t>SourceData.xlsx</t>
        </is>
      </c>
      <c r="C8" s="11" t="inlineStr">
        <is>
          <t>Figure 4 sweep labels/captions updated to v4 values (data still to be replaced); sheets Supplementary Figure 10a,b added</t>
        </is>
      </c>
      <c r="D8" s="11" t="inlineStr">
        <is>
          <t>5, 9</t>
        </is>
      </c>
    </row>
    <row r="9">
      <c r="A9" s="11" t="inlineStr">
        <is>
          <t>09-Oct</t>
        </is>
      </c>
      <c r="B9" s="11" t="inlineStr">
        <is>
          <t>Not done</t>
        </is>
      </c>
      <c r="C9" s="11" t="inlineStr">
        <is>
          <t>Table S14, Table S15, Tables S9/S10, 3.5 mg/L O2 curve, SA:V paragraph, disclosure of earlier validation/stent runs</t>
        </is>
      </c>
      <c r="D9" s="11" t="inlineStr">
        <is>
          <t>1, 2, 5, 9, 13, 14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2026-10-09T04:26:28Z</dcterms:created>
  <dcterms:modified xmlns:dcterms="http://purl.org/dc/terms/" xmlns:xsi="http://www.w3.org/2001/XMLSchema-instance" xsi:type="dcterms:W3CDTF">2026-10-09T20:49:09Z</dcterms:modified>
  <cp:lastModifiedBy>Henaka Ariyarathna</cp:lastModifiedBy>
</cp:coreProperties>
</file>